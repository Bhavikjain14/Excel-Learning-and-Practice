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2"/>
  </bookViews>
  <sheets>
    <sheet name="Shopping_Data" sheetId="1" r:id="rId1"/>
    <sheet name="Lookup_Data" sheetId="2" r:id="rId2"/>
    <sheet name="Practice_Questions" sheetId="3" r:id="rId3"/>
  </sheets>
  <definedNames>
    <definedName name="_xlnm._FilterDatabase" localSheetId="2" hidden="1">Practice_Questions!$A$1:$D$61</definedName>
    <definedName name="_xlnm._FilterDatabase" localSheetId="0" hidden="1">Shopping_Data!$A$1:$M$16</definedName>
  </definedNames>
  <calcPr calcId="144525"/>
</workbook>
</file>

<file path=xl/calcChain.xml><?xml version="1.0" encoding="utf-8"?>
<calcChain xmlns="http://schemas.openxmlformats.org/spreadsheetml/2006/main">
  <c r="F12" i="2" l="1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B30" i="3"/>
  <c r="B28" i="3"/>
  <c r="B27" i="3"/>
  <c r="B26" i="3"/>
  <c r="B25" i="3"/>
  <c r="B24" i="3"/>
  <c r="B23" i="3"/>
  <c r="B22" i="3"/>
  <c r="B21" i="3"/>
  <c r="B19" i="3"/>
  <c r="B18" i="3"/>
  <c r="B17" i="3"/>
  <c r="B16" i="3"/>
  <c r="B15" i="3"/>
  <c r="B14" i="3"/>
  <c r="B11" i="3"/>
  <c r="B12" i="3"/>
  <c r="B10" i="3"/>
  <c r="B9" i="3"/>
  <c r="B7" i="3"/>
  <c r="B6" i="3"/>
  <c r="B5" i="3"/>
  <c r="B4" i="3"/>
  <c r="B3" i="3"/>
  <c r="B2" i="3"/>
  <c r="B3" i="2"/>
  <c r="B4" i="2"/>
  <c r="B5" i="2"/>
  <c r="B6" i="2"/>
  <c r="B2" i="2"/>
  <c r="D3" i="2"/>
  <c r="D4" i="2"/>
  <c r="D5" i="2"/>
  <c r="D6" i="2"/>
  <c r="D2" i="2"/>
  <c r="C2" i="2"/>
  <c r="C3" i="2"/>
  <c r="C4" i="2"/>
  <c r="C5" i="2"/>
  <c r="C6" i="2"/>
</calcChain>
</file>

<file path=xl/sharedStrings.xml><?xml version="1.0" encoding="utf-8"?>
<sst xmlns="http://schemas.openxmlformats.org/spreadsheetml/2006/main" count="382" uniqueCount="139">
  <si>
    <t>Order_ID</t>
  </si>
  <si>
    <t>Customer_ID</t>
  </si>
  <si>
    <t>Customer_Name</t>
  </si>
  <si>
    <t>City</t>
  </si>
  <si>
    <t>Product</t>
  </si>
  <si>
    <t>Category</t>
  </si>
  <si>
    <t>Quantity</t>
  </si>
  <si>
    <t>Price</t>
  </si>
  <si>
    <t>Payment_Mode</t>
  </si>
  <si>
    <t>Shop_Mode</t>
  </si>
  <si>
    <t>Discount_Percent</t>
  </si>
  <si>
    <t>Sales_Amount</t>
  </si>
  <si>
    <t>Employee_ID</t>
  </si>
  <si>
    <t>C101</t>
  </si>
  <si>
    <t>Delhi</t>
  </si>
  <si>
    <t>Laptop</t>
  </si>
  <si>
    <t>Electronics</t>
  </si>
  <si>
    <t>Card</t>
  </si>
  <si>
    <t>Online</t>
  </si>
  <si>
    <t>E01</t>
  </si>
  <si>
    <t>C102</t>
  </si>
  <si>
    <t>Mumbai</t>
  </si>
  <si>
    <t>Mobile</t>
  </si>
  <si>
    <t>UPI</t>
  </si>
  <si>
    <t>E02</t>
  </si>
  <si>
    <t>C103</t>
  </si>
  <si>
    <t>Pune</t>
  </si>
  <si>
    <t>Shoes</t>
  </si>
  <si>
    <t>Fashion</t>
  </si>
  <si>
    <t>Cash</t>
  </si>
  <si>
    <t>Offline</t>
  </si>
  <si>
    <t>E03</t>
  </si>
  <si>
    <t>C104</t>
  </si>
  <si>
    <t>Watch</t>
  </si>
  <si>
    <t>C105</t>
  </si>
  <si>
    <t>Chennai</t>
  </si>
  <si>
    <t>Table</t>
  </si>
  <si>
    <t>Furniture</t>
  </si>
  <si>
    <t>E04</t>
  </si>
  <si>
    <t>C106</t>
  </si>
  <si>
    <t>Noida</t>
  </si>
  <si>
    <t>Chair</t>
  </si>
  <si>
    <t>E05</t>
  </si>
  <si>
    <t>C107</t>
  </si>
  <si>
    <t>Headphone</t>
  </si>
  <si>
    <t>C108</t>
  </si>
  <si>
    <t>Jaipur</t>
  </si>
  <si>
    <t>Dress</t>
  </si>
  <si>
    <t>C109</t>
  </si>
  <si>
    <t>C110</t>
  </si>
  <si>
    <t>Sofa</t>
  </si>
  <si>
    <t>C111</t>
  </si>
  <si>
    <t>C112</t>
  </si>
  <si>
    <t>C113</t>
  </si>
  <si>
    <t>C114</t>
  </si>
  <si>
    <t>C115</t>
  </si>
  <si>
    <t>Employee_Name</t>
  </si>
  <si>
    <t>Excel Practice Questions</t>
  </si>
  <si>
    <t>1. Extract first name from Customer_Name using LEFT function.</t>
  </si>
  <si>
    <t>2. Extract last 3 characters from Customer_ID using RIGHT function.</t>
  </si>
  <si>
    <t>3. Find length of Customer_Name using LEN function.</t>
  </si>
  <si>
    <t>4. Convert Customer_Name into uppercase using UPPER function.</t>
  </si>
  <si>
    <t>5. Convert Customer_Name into lowercase using LOWER function.</t>
  </si>
  <si>
    <t>6. Join Customer_Name and City using CONCAT function.</t>
  </si>
  <si>
    <t>7. Join Product and Category using TEXTJOIN function.</t>
  </si>
  <si>
    <t>8. Find position of a character in Customer_Name using FIND.</t>
  </si>
  <si>
    <t>9. Extract middle characters using MID function.</t>
  </si>
  <si>
    <t>10. Remove extra spaces using TRIM.</t>
  </si>
  <si>
    <t>11. Replace text using SUBSTITUTE.</t>
  </si>
  <si>
    <t>12. Search text inside Customer_Name using SEARCH.</t>
  </si>
  <si>
    <t>13. Create Email ID using name + domain.</t>
  </si>
  <si>
    <t>14. Extract first letter from Product name.</t>
  </si>
  <si>
    <t>15. Extract last letter from City name.</t>
  </si>
  <si>
    <t>16. Count characters in Product names.</t>
  </si>
  <si>
    <t>17. Convert names into proper case using PROPER.</t>
  </si>
  <si>
    <t>18. Combine Customer_Name, Product and City in one sentence.</t>
  </si>
  <si>
    <t>19. Find customers whose name starts with A.</t>
  </si>
  <si>
    <t>20. Create customer code using LEFT and RIGHT.</t>
  </si>
  <si>
    <t>21. Find total sales using SUM.</t>
  </si>
  <si>
    <t>22. Find average Sales_Amount using AVERAGE.</t>
  </si>
  <si>
    <t>23. Find highest and lowest Sales_Amount using MAX and MIN.</t>
  </si>
  <si>
    <t>24. Count total orders using COUNT.</t>
  </si>
  <si>
    <t>25. Count Online orders using COUNTIF.</t>
  </si>
  <si>
    <t>26. Find Electronics category sales using SUMIF.</t>
  </si>
  <si>
    <t>27. Find sales between two conditions using SUMIFS.</t>
  </si>
  <si>
    <t>28. Find average sales of a specific city using AVERAGEIF.</t>
  </si>
  <si>
    <t>29. Use IF function to create High/Low sales category.</t>
  </si>
  <si>
    <t>30. Use nested IF for discount classification.</t>
  </si>
  <si>
    <t>31. Use VLOOKUP to find Employee Name.</t>
  </si>
  <si>
    <t>32. Use VLOOKUP to find Department.</t>
  </si>
  <si>
    <t>33. Use XLOOKUP to fetch Manager details.</t>
  </si>
  <si>
    <t>34. Use HLOOKUP with horizontal employee data.</t>
  </si>
  <si>
    <t>35. Sort customers by highest sales.</t>
  </si>
  <si>
    <t>36. Filter only Card payment customers.</t>
  </si>
  <si>
    <t>37. Find duplicate Customer_ID values.</t>
  </si>
  <si>
    <t>38. Remove duplicate records.</t>
  </si>
  <si>
    <t>39. Apply conditional formatting for high sales.</t>
  </si>
  <si>
    <t>40. Create a clean final customer report.</t>
  </si>
  <si>
    <t>41. Use VLOOKUP to find Customer_Name using Customer_ID.</t>
  </si>
  <si>
    <t>42. Use VLOOKUP to find City using Customer_ID.</t>
  </si>
  <si>
    <t>43. Use VLOOKUP to find Product details using Order_ID.</t>
  </si>
  <si>
    <t>44. Use VLOOKUP with exact match option.</t>
  </si>
  <si>
    <t>45. Use VLOOKUP with FALSE parameter.</t>
  </si>
  <si>
    <t>46. Use VLOOKUP to fetch multiple columns from lookup table.</t>
  </si>
  <si>
    <t>47. Use VLOOKUP to return Employee Department using Employee_ID.</t>
  </si>
  <si>
    <t>48. Use VLOOKUP to return Manager name using Employee_ID.</t>
  </si>
  <si>
    <t>49. Create a separate lookup table and apply VLOOKUP.</t>
  </si>
  <si>
    <t>50. Use XLOOKUP to find Customer_Name from Customer_ID.</t>
  </si>
  <si>
    <t>51. Use XLOOKUP to find Sales_Amount from Order_ID.</t>
  </si>
  <si>
    <t>52. Use XLOOKUP with not found message.</t>
  </si>
  <si>
    <t>53. Use XLOOKUP to search from right to left.</t>
  </si>
  <si>
    <t>54. Use XLOOKUP to return multiple values.</t>
  </si>
  <si>
    <t>55. Compare VLOOKUP and XLOOKUP results.</t>
  </si>
  <si>
    <t>61. Use HLOOKUP with horizontal employee table.</t>
  </si>
  <si>
    <t>62. Use HLOOKUP to find employee department.</t>
  </si>
  <si>
    <t>63. Create horizontal lookup data and apply HLOOKUP.</t>
  </si>
  <si>
    <t>64. Find missing IDs using lookup functions.</t>
  </si>
  <si>
    <t>65. Find customers whose details are not available in lookup table.</t>
  </si>
  <si>
    <t>Payment Mode</t>
  </si>
  <si>
    <t>Amit Gupta</t>
  </si>
  <si>
    <t>Neha Sharma</t>
  </si>
  <si>
    <t>Raj Arora</t>
  </si>
  <si>
    <t>Priya Kalra</t>
  </si>
  <si>
    <t>Arun Jain</t>
  </si>
  <si>
    <t>Kiran Kaur</t>
  </si>
  <si>
    <t>Ravi Raj</t>
  </si>
  <si>
    <t>Sneha Gupta</t>
  </si>
  <si>
    <t>Vikas Chopra</t>
  </si>
  <si>
    <t>Anjali Thakur</t>
  </si>
  <si>
    <t>Rohan Jain</t>
  </si>
  <si>
    <t>Pooja Bisht</t>
  </si>
  <si>
    <t>Manish Kumar</t>
  </si>
  <si>
    <t>Simran Kaur</t>
  </si>
  <si>
    <t>Deepak Arora</t>
  </si>
  <si>
    <t>Output using Formulas</t>
  </si>
  <si>
    <t>To Learn Again</t>
  </si>
  <si>
    <t>-</t>
  </si>
  <si>
    <t>AVERAGEIF(Shopping_Data!E2:E16,Shopping_Data!$E$4,Shopping_Data!E2:M16)</t>
  </si>
  <si>
    <t>Used in Previous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</si>
</sst>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M11" sqref="M11"/>
    </sheetView>
  </sheetViews>
  <sheetFormatPr defaultRowHeight="14.4" x14ac:dyDescent="0.3"/>
  <cols>
    <col min="1" max="1" width="15.88671875" bestFit="1" customWidth="1"/>
    <col min="2" max="2" width="10.109375" bestFit="1" customWidth="1"/>
    <col min="3" max="3" width="11.88671875" bestFit="1" customWidth="1"/>
    <col min="4" max="4" width="15.21875" bestFit="1" customWidth="1"/>
    <col min="5" max="5" width="9.5546875" bestFit="1" customWidth="1"/>
    <col min="6" max="6" width="10.33203125" bestFit="1" customWidth="1"/>
    <col min="7" max="7" width="9.88671875" bestFit="1" customWidth="1"/>
    <col min="8" max="8" width="10.33203125" bestFit="1" customWidth="1"/>
    <col min="9" max="9" width="11.21875" bestFit="1" customWidth="1"/>
    <col min="10" max="10" width="14.6640625" bestFit="1" customWidth="1"/>
    <col min="11" max="11" width="11.44140625" bestFit="1" customWidth="1"/>
    <col min="12" max="12" width="15.88671875" bestFit="1" customWidth="1"/>
    <col min="13" max="13" width="13.21875" bestFit="1" customWidth="1"/>
    <col min="14" max="14" width="12.5546875" bestFit="1" customWidth="1"/>
    <col min="15" max="15" width="10.6640625" bestFit="1" customWidth="1"/>
    <col min="16" max="16" width="12.109375" bestFit="1" customWidth="1"/>
  </cols>
  <sheetData>
    <row r="1" spans="1:13" x14ac:dyDescent="0.3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1" t="s">
        <v>19</v>
      </c>
      <c r="B2" s="1">
        <v>1009</v>
      </c>
      <c r="C2" s="1" t="s">
        <v>48</v>
      </c>
      <c r="D2" s="1" t="s">
        <v>127</v>
      </c>
      <c r="E2" s="1" t="s">
        <v>21</v>
      </c>
      <c r="F2" s="1" t="s">
        <v>15</v>
      </c>
      <c r="G2" s="1" t="s">
        <v>16</v>
      </c>
      <c r="H2" s="1">
        <v>1</v>
      </c>
      <c r="I2" s="1">
        <v>65000</v>
      </c>
      <c r="J2" s="1" t="s">
        <v>17</v>
      </c>
      <c r="K2" s="1" t="s">
        <v>18</v>
      </c>
      <c r="L2" s="1">
        <v>5</v>
      </c>
      <c r="M2" s="1">
        <v>61750</v>
      </c>
    </row>
    <row r="3" spans="1:13" x14ac:dyDescent="0.3">
      <c r="A3" s="1" t="s">
        <v>19</v>
      </c>
      <c r="B3" s="1">
        <v>1001</v>
      </c>
      <c r="C3" s="1" t="s">
        <v>13</v>
      </c>
      <c r="D3" s="1" t="s">
        <v>119</v>
      </c>
      <c r="E3" s="1" t="s">
        <v>14</v>
      </c>
      <c r="F3" s="1" t="s">
        <v>15</v>
      </c>
      <c r="G3" s="1" t="s">
        <v>16</v>
      </c>
      <c r="H3" s="1">
        <v>1</v>
      </c>
      <c r="I3" s="1">
        <v>55000</v>
      </c>
      <c r="J3" s="1" t="s">
        <v>17</v>
      </c>
      <c r="K3" s="1" t="s">
        <v>18</v>
      </c>
      <c r="L3" s="1">
        <v>10</v>
      </c>
      <c r="M3" s="1">
        <v>49500</v>
      </c>
    </row>
    <row r="4" spans="1:13" x14ac:dyDescent="0.3">
      <c r="A4" s="1" t="s">
        <v>24</v>
      </c>
      <c r="B4" s="1">
        <v>1002</v>
      </c>
      <c r="C4" s="1" t="s">
        <v>20</v>
      </c>
      <c r="D4" s="1" t="s">
        <v>120</v>
      </c>
      <c r="E4" s="1" t="s">
        <v>21</v>
      </c>
      <c r="F4" s="1" t="s">
        <v>22</v>
      </c>
      <c r="G4" s="1" t="s">
        <v>16</v>
      </c>
      <c r="H4" s="1">
        <v>2</v>
      </c>
      <c r="I4" s="1">
        <v>25000</v>
      </c>
      <c r="J4" s="1" t="s">
        <v>23</v>
      </c>
      <c r="K4" s="1" t="s">
        <v>18</v>
      </c>
      <c r="L4" s="1">
        <v>5</v>
      </c>
      <c r="M4" s="1">
        <v>47500</v>
      </c>
    </row>
    <row r="5" spans="1:13" x14ac:dyDescent="0.3">
      <c r="A5" s="1" t="s">
        <v>38</v>
      </c>
      <c r="B5" s="1">
        <v>1010</v>
      </c>
      <c r="C5" s="1" t="s">
        <v>49</v>
      </c>
      <c r="D5" s="1" t="s">
        <v>128</v>
      </c>
      <c r="E5" s="1" t="s">
        <v>26</v>
      </c>
      <c r="F5" s="1" t="s">
        <v>50</v>
      </c>
      <c r="G5" s="1" t="s">
        <v>37</v>
      </c>
      <c r="H5" s="1">
        <v>1</v>
      </c>
      <c r="I5" s="1">
        <v>45000</v>
      </c>
      <c r="J5" s="1" t="s">
        <v>23</v>
      </c>
      <c r="K5" s="1" t="s">
        <v>30</v>
      </c>
      <c r="L5" s="1">
        <v>10</v>
      </c>
      <c r="M5" s="1">
        <v>40500</v>
      </c>
    </row>
    <row r="6" spans="1:13" x14ac:dyDescent="0.3">
      <c r="A6" s="1" t="s">
        <v>24</v>
      </c>
      <c r="B6" s="1">
        <v>1011</v>
      </c>
      <c r="C6" s="1" t="s">
        <v>51</v>
      </c>
      <c r="D6" s="1" t="s">
        <v>129</v>
      </c>
      <c r="E6" s="1" t="s">
        <v>14</v>
      </c>
      <c r="F6" s="1" t="s">
        <v>22</v>
      </c>
      <c r="G6" s="1" t="s">
        <v>16</v>
      </c>
      <c r="H6" s="1">
        <v>1</v>
      </c>
      <c r="I6" s="1">
        <v>30000</v>
      </c>
      <c r="J6" s="1" t="s">
        <v>29</v>
      </c>
      <c r="K6" s="1" t="s">
        <v>18</v>
      </c>
      <c r="L6" s="1">
        <v>5</v>
      </c>
      <c r="M6" s="1">
        <v>28500</v>
      </c>
    </row>
    <row r="7" spans="1:13" x14ac:dyDescent="0.3">
      <c r="A7" s="1" t="s">
        <v>38</v>
      </c>
      <c r="B7" s="1">
        <v>1005</v>
      </c>
      <c r="C7" s="1" t="s">
        <v>34</v>
      </c>
      <c r="D7" s="1" t="s">
        <v>123</v>
      </c>
      <c r="E7" s="1" t="s">
        <v>35</v>
      </c>
      <c r="F7" s="1" t="s">
        <v>36</v>
      </c>
      <c r="G7" s="1" t="s">
        <v>37</v>
      </c>
      <c r="H7" s="1">
        <v>2</v>
      </c>
      <c r="I7" s="1">
        <v>12000</v>
      </c>
      <c r="J7" s="1" t="s">
        <v>23</v>
      </c>
      <c r="K7" s="1" t="s">
        <v>30</v>
      </c>
      <c r="L7" s="1">
        <v>10</v>
      </c>
      <c r="M7" s="1">
        <v>21600</v>
      </c>
    </row>
    <row r="8" spans="1:13" x14ac:dyDescent="0.3">
      <c r="A8" s="1" t="s">
        <v>42</v>
      </c>
      <c r="B8" s="1">
        <v>1006</v>
      </c>
      <c r="C8" s="1" t="s">
        <v>39</v>
      </c>
      <c r="D8" s="1" t="s">
        <v>124</v>
      </c>
      <c r="E8" s="1" t="s">
        <v>40</v>
      </c>
      <c r="F8" s="1" t="s">
        <v>41</v>
      </c>
      <c r="G8" s="1" t="s">
        <v>37</v>
      </c>
      <c r="H8" s="1">
        <v>4</v>
      </c>
      <c r="I8" s="1">
        <v>5000</v>
      </c>
      <c r="J8" s="1" t="s">
        <v>29</v>
      </c>
      <c r="K8" s="1" t="s">
        <v>30</v>
      </c>
      <c r="L8" s="1">
        <v>5</v>
      </c>
      <c r="M8" s="1">
        <v>19000</v>
      </c>
    </row>
    <row r="9" spans="1:13" x14ac:dyDescent="0.3">
      <c r="A9" s="1" t="s">
        <v>31</v>
      </c>
      <c r="B9" s="1">
        <v>1014</v>
      </c>
      <c r="C9" s="1" t="s">
        <v>54</v>
      </c>
      <c r="D9" s="1" t="s">
        <v>132</v>
      </c>
      <c r="E9" s="1" t="s">
        <v>21</v>
      </c>
      <c r="F9" s="1" t="s">
        <v>33</v>
      </c>
      <c r="G9" s="1" t="s">
        <v>28</v>
      </c>
      <c r="H9" s="1">
        <v>2</v>
      </c>
      <c r="I9" s="1">
        <v>9000</v>
      </c>
      <c r="J9" s="1" t="s">
        <v>29</v>
      </c>
      <c r="K9" s="1" t="s">
        <v>18</v>
      </c>
      <c r="L9" s="1">
        <v>15</v>
      </c>
      <c r="M9" s="1">
        <v>15300</v>
      </c>
    </row>
    <row r="10" spans="1:13" x14ac:dyDescent="0.3">
      <c r="A10" s="1" t="s">
        <v>31</v>
      </c>
      <c r="B10" s="1">
        <v>1008</v>
      </c>
      <c r="C10" s="1" t="s">
        <v>45</v>
      </c>
      <c r="D10" s="1" t="s">
        <v>126</v>
      </c>
      <c r="E10" s="1" t="s">
        <v>46</v>
      </c>
      <c r="F10" s="1" t="s">
        <v>47</v>
      </c>
      <c r="G10" s="1" t="s">
        <v>28</v>
      </c>
      <c r="H10" s="1">
        <v>3</v>
      </c>
      <c r="I10" s="1">
        <v>6000</v>
      </c>
      <c r="J10" s="1" t="s">
        <v>17</v>
      </c>
      <c r="K10" s="1" t="s">
        <v>18</v>
      </c>
      <c r="L10" s="1">
        <v>20</v>
      </c>
      <c r="M10" s="1">
        <v>14400</v>
      </c>
    </row>
    <row r="11" spans="1:13" x14ac:dyDescent="0.3">
      <c r="A11" s="1" t="s">
        <v>42</v>
      </c>
      <c r="B11" s="1">
        <v>1013</v>
      </c>
      <c r="C11" s="1" t="s">
        <v>53</v>
      </c>
      <c r="D11" s="1" t="s">
        <v>131</v>
      </c>
      <c r="E11" s="1" t="s">
        <v>35</v>
      </c>
      <c r="F11" s="1" t="s">
        <v>36</v>
      </c>
      <c r="G11" s="1" t="s">
        <v>37</v>
      </c>
      <c r="H11" s="1">
        <v>1</v>
      </c>
      <c r="I11" s="1">
        <v>15000</v>
      </c>
      <c r="J11" s="1" t="s">
        <v>17</v>
      </c>
      <c r="K11" s="1" t="s">
        <v>30</v>
      </c>
      <c r="L11" s="1">
        <v>10</v>
      </c>
      <c r="M11" s="1">
        <v>13500</v>
      </c>
    </row>
    <row r="12" spans="1:13" x14ac:dyDescent="0.3">
      <c r="A12" s="1" t="s">
        <v>24</v>
      </c>
      <c r="B12" s="1">
        <v>1015</v>
      </c>
      <c r="C12" s="1" t="s">
        <v>55</v>
      </c>
      <c r="D12" s="1" t="s">
        <v>133</v>
      </c>
      <c r="E12" s="1" t="s">
        <v>14</v>
      </c>
      <c r="F12" s="1" t="s">
        <v>44</v>
      </c>
      <c r="G12" s="1" t="s">
        <v>16</v>
      </c>
      <c r="H12" s="1">
        <v>5</v>
      </c>
      <c r="I12" s="1">
        <v>3000</v>
      </c>
      <c r="J12" s="1" t="s">
        <v>23</v>
      </c>
      <c r="K12" s="1" t="s">
        <v>18</v>
      </c>
      <c r="L12" s="1">
        <v>10</v>
      </c>
      <c r="M12" s="1">
        <v>13500</v>
      </c>
    </row>
    <row r="13" spans="1:13" x14ac:dyDescent="0.3">
      <c r="A13" s="1" t="s">
        <v>31</v>
      </c>
      <c r="B13" s="1">
        <v>1003</v>
      </c>
      <c r="C13" s="1" t="s">
        <v>25</v>
      </c>
      <c r="D13" s="1" t="s">
        <v>121</v>
      </c>
      <c r="E13" s="1" t="s">
        <v>26</v>
      </c>
      <c r="F13" s="1" t="s">
        <v>27</v>
      </c>
      <c r="G13" s="1" t="s">
        <v>28</v>
      </c>
      <c r="H13" s="1">
        <v>3</v>
      </c>
      <c r="I13" s="1">
        <v>3000</v>
      </c>
      <c r="J13" s="1" t="s">
        <v>29</v>
      </c>
      <c r="K13" s="1" t="s">
        <v>30</v>
      </c>
      <c r="L13" s="1">
        <v>0</v>
      </c>
      <c r="M13" s="1">
        <v>9000</v>
      </c>
    </row>
    <row r="14" spans="1:13" x14ac:dyDescent="0.3">
      <c r="A14" s="1" t="s">
        <v>24</v>
      </c>
      <c r="B14" s="1">
        <v>1007</v>
      </c>
      <c r="C14" s="1" t="s">
        <v>43</v>
      </c>
      <c r="D14" s="1" t="s">
        <v>125</v>
      </c>
      <c r="E14" s="1" t="s">
        <v>14</v>
      </c>
      <c r="F14" s="1" t="s">
        <v>44</v>
      </c>
      <c r="G14" s="1" t="s">
        <v>16</v>
      </c>
      <c r="H14" s="1">
        <v>2</v>
      </c>
      <c r="I14" s="1">
        <v>4000</v>
      </c>
      <c r="J14" s="1" t="s">
        <v>23</v>
      </c>
      <c r="K14" s="1" t="s">
        <v>18</v>
      </c>
      <c r="L14" s="1">
        <v>10</v>
      </c>
      <c r="M14" s="1">
        <v>7200</v>
      </c>
    </row>
    <row r="15" spans="1:13" x14ac:dyDescent="0.3">
      <c r="A15" s="1" t="s">
        <v>31</v>
      </c>
      <c r="B15" s="1">
        <v>1012</v>
      </c>
      <c r="C15" s="1" t="s">
        <v>52</v>
      </c>
      <c r="D15" s="1" t="s">
        <v>130</v>
      </c>
      <c r="E15" s="1" t="s">
        <v>40</v>
      </c>
      <c r="F15" s="1" t="s">
        <v>27</v>
      </c>
      <c r="G15" s="1" t="s">
        <v>28</v>
      </c>
      <c r="H15" s="1">
        <v>2</v>
      </c>
      <c r="I15" s="1">
        <v>3500</v>
      </c>
      <c r="J15" s="1" t="s">
        <v>23</v>
      </c>
      <c r="K15" s="1" t="s">
        <v>18</v>
      </c>
      <c r="L15" s="1">
        <v>0</v>
      </c>
      <c r="M15" s="1">
        <v>7000</v>
      </c>
    </row>
    <row r="16" spans="1:13" x14ac:dyDescent="0.3">
      <c r="A16" s="1" t="s">
        <v>19</v>
      </c>
      <c r="B16" s="1">
        <v>1004</v>
      </c>
      <c r="C16" s="1" t="s">
        <v>32</v>
      </c>
      <c r="D16" s="1" t="s">
        <v>122</v>
      </c>
      <c r="E16" s="1" t="s">
        <v>14</v>
      </c>
      <c r="F16" s="1" t="s">
        <v>33</v>
      </c>
      <c r="G16" s="1" t="s">
        <v>28</v>
      </c>
      <c r="H16" s="1">
        <v>1</v>
      </c>
      <c r="I16" s="1">
        <v>8000</v>
      </c>
      <c r="J16" s="1" t="s">
        <v>17</v>
      </c>
      <c r="K16" s="1" t="s">
        <v>18</v>
      </c>
      <c r="L16" s="1">
        <v>15</v>
      </c>
      <c r="M16" s="1">
        <v>6800</v>
      </c>
    </row>
    <row r="19" spans="1:16" x14ac:dyDescent="0.3">
      <c r="A19" s="2" t="s">
        <v>12</v>
      </c>
      <c r="B19" s="1" t="s">
        <v>19</v>
      </c>
      <c r="C19" s="1" t="s">
        <v>24</v>
      </c>
      <c r="D19" s="1" t="s">
        <v>31</v>
      </c>
      <c r="E19" s="1" t="s">
        <v>19</v>
      </c>
      <c r="F19" s="1" t="s">
        <v>38</v>
      </c>
      <c r="G19" s="1" t="s">
        <v>42</v>
      </c>
      <c r="H19" s="1" t="s">
        <v>24</v>
      </c>
      <c r="I19" s="1" t="s">
        <v>31</v>
      </c>
      <c r="J19" s="1" t="s">
        <v>19</v>
      </c>
      <c r="K19" s="1" t="s">
        <v>38</v>
      </c>
      <c r="L19" s="1" t="s">
        <v>24</v>
      </c>
      <c r="M19" s="1" t="s">
        <v>31</v>
      </c>
      <c r="N19" s="1" t="s">
        <v>42</v>
      </c>
      <c r="O19" s="1" t="s">
        <v>31</v>
      </c>
      <c r="P19" s="1" t="s">
        <v>24</v>
      </c>
    </row>
    <row r="20" spans="1:16" x14ac:dyDescent="0.3">
      <c r="A20" s="2" t="s">
        <v>0</v>
      </c>
      <c r="B20" s="1">
        <v>1001</v>
      </c>
      <c r="C20" s="1">
        <v>1002</v>
      </c>
      <c r="D20" s="1">
        <v>1003</v>
      </c>
      <c r="E20" s="1">
        <v>1004</v>
      </c>
      <c r="F20" s="1">
        <v>1005</v>
      </c>
      <c r="G20" s="1">
        <v>1006</v>
      </c>
      <c r="H20" s="1">
        <v>1007</v>
      </c>
      <c r="I20" s="1">
        <v>1008</v>
      </c>
      <c r="J20" s="1">
        <v>1009</v>
      </c>
      <c r="K20" s="1">
        <v>1010</v>
      </c>
      <c r="L20" s="1">
        <v>1011</v>
      </c>
      <c r="M20" s="1">
        <v>1012</v>
      </c>
      <c r="N20" s="1">
        <v>1013</v>
      </c>
      <c r="O20" s="1">
        <v>1014</v>
      </c>
      <c r="P20" s="1">
        <v>1015</v>
      </c>
    </row>
    <row r="21" spans="1:16" x14ac:dyDescent="0.3">
      <c r="A21" s="2" t="s">
        <v>1</v>
      </c>
      <c r="B21" s="1" t="s">
        <v>13</v>
      </c>
      <c r="C21" s="1" t="s">
        <v>20</v>
      </c>
      <c r="D21" s="1" t="s">
        <v>25</v>
      </c>
      <c r="E21" s="1" t="s">
        <v>32</v>
      </c>
      <c r="F21" s="1" t="s">
        <v>34</v>
      </c>
      <c r="G21" s="1" t="s">
        <v>39</v>
      </c>
      <c r="H21" s="1" t="s">
        <v>43</v>
      </c>
      <c r="I21" s="1" t="s">
        <v>45</v>
      </c>
      <c r="J21" s="1" t="s">
        <v>48</v>
      </c>
      <c r="K21" s="1" t="s">
        <v>49</v>
      </c>
      <c r="L21" s="1" t="s">
        <v>51</v>
      </c>
      <c r="M21" s="1" t="s">
        <v>52</v>
      </c>
      <c r="N21" s="1" t="s">
        <v>53</v>
      </c>
      <c r="O21" s="1" t="s">
        <v>54</v>
      </c>
      <c r="P21" s="1" t="s">
        <v>55</v>
      </c>
    </row>
    <row r="22" spans="1:16" x14ac:dyDescent="0.3">
      <c r="A22" s="2" t="s">
        <v>2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123</v>
      </c>
      <c r="G22" s="1" t="s">
        <v>124</v>
      </c>
      <c r="H22" s="1" t="s">
        <v>125</v>
      </c>
      <c r="I22" s="1" t="s">
        <v>126</v>
      </c>
      <c r="J22" s="1" t="s">
        <v>127</v>
      </c>
      <c r="K22" s="1" t="s">
        <v>128</v>
      </c>
      <c r="L22" s="1" t="s">
        <v>129</v>
      </c>
      <c r="M22" s="1" t="s">
        <v>130</v>
      </c>
      <c r="N22" s="1" t="s">
        <v>131</v>
      </c>
      <c r="O22" s="1" t="s">
        <v>132</v>
      </c>
      <c r="P22" s="1" t="s">
        <v>133</v>
      </c>
    </row>
    <row r="23" spans="1:16" x14ac:dyDescent="0.3">
      <c r="A23" s="2" t="s">
        <v>3</v>
      </c>
      <c r="B23" s="1" t="s">
        <v>14</v>
      </c>
      <c r="C23" s="1" t="s">
        <v>21</v>
      </c>
      <c r="D23" s="1" t="s">
        <v>26</v>
      </c>
      <c r="E23" s="1" t="s">
        <v>14</v>
      </c>
      <c r="F23" s="1" t="s">
        <v>35</v>
      </c>
      <c r="G23" s="1" t="s">
        <v>40</v>
      </c>
      <c r="H23" s="1" t="s">
        <v>14</v>
      </c>
      <c r="I23" s="1" t="s">
        <v>46</v>
      </c>
      <c r="J23" s="1" t="s">
        <v>21</v>
      </c>
      <c r="K23" s="1" t="s">
        <v>26</v>
      </c>
      <c r="L23" s="1" t="s">
        <v>14</v>
      </c>
      <c r="M23" s="1" t="s">
        <v>40</v>
      </c>
      <c r="N23" s="1" t="s">
        <v>35</v>
      </c>
      <c r="O23" s="1" t="s">
        <v>21</v>
      </c>
      <c r="P23" s="1" t="s">
        <v>14</v>
      </c>
    </row>
    <row r="24" spans="1:16" x14ac:dyDescent="0.3">
      <c r="A24" s="2" t="s">
        <v>4</v>
      </c>
      <c r="B24" s="1" t="s">
        <v>15</v>
      </c>
      <c r="C24" s="1" t="s">
        <v>22</v>
      </c>
      <c r="D24" s="1" t="s">
        <v>27</v>
      </c>
      <c r="E24" s="1" t="s">
        <v>33</v>
      </c>
      <c r="F24" s="1" t="s">
        <v>36</v>
      </c>
      <c r="G24" s="1" t="s">
        <v>41</v>
      </c>
      <c r="H24" s="1" t="s">
        <v>44</v>
      </c>
      <c r="I24" s="1" t="s">
        <v>47</v>
      </c>
      <c r="J24" s="1" t="s">
        <v>15</v>
      </c>
      <c r="K24" s="1" t="s">
        <v>50</v>
      </c>
      <c r="L24" s="1" t="s">
        <v>22</v>
      </c>
      <c r="M24" s="1" t="s">
        <v>27</v>
      </c>
      <c r="N24" s="1" t="s">
        <v>36</v>
      </c>
      <c r="O24" s="1" t="s">
        <v>33</v>
      </c>
      <c r="P24" s="1" t="s">
        <v>44</v>
      </c>
    </row>
    <row r="25" spans="1:16" x14ac:dyDescent="0.3">
      <c r="A25" s="2" t="s">
        <v>5</v>
      </c>
      <c r="B25" s="1" t="s">
        <v>16</v>
      </c>
      <c r="C25" s="1" t="s">
        <v>16</v>
      </c>
      <c r="D25" s="1" t="s">
        <v>28</v>
      </c>
      <c r="E25" s="1" t="s">
        <v>28</v>
      </c>
      <c r="F25" s="1" t="s">
        <v>37</v>
      </c>
      <c r="G25" s="1" t="s">
        <v>37</v>
      </c>
      <c r="H25" s="1" t="s">
        <v>16</v>
      </c>
      <c r="I25" s="1" t="s">
        <v>28</v>
      </c>
      <c r="J25" s="1" t="s">
        <v>16</v>
      </c>
      <c r="K25" s="1" t="s">
        <v>37</v>
      </c>
      <c r="L25" s="1" t="s">
        <v>16</v>
      </c>
      <c r="M25" s="1" t="s">
        <v>28</v>
      </c>
      <c r="N25" s="1" t="s">
        <v>37</v>
      </c>
      <c r="O25" s="1" t="s">
        <v>28</v>
      </c>
      <c r="P25" s="1" t="s">
        <v>16</v>
      </c>
    </row>
    <row r="26" spans="1:16" x14ac:dyDescent="0.3">
      <c r="A26" s="2" t="s">
        <v>6</v>
      </c>
      <c r="B26" s="1">
        <v>1</v>
      </c>
      <c r="C26" s="1">
        <v>2</v>
      </c>
      <c r="D26" s="1">
        <v>3</v>
      </c>
      <c r="E26" s="1">
        <v>1</v>
      </c>
      <c r="F26" s="1">
        <v>2</v>
      </c>
      <c r="G26" s="1">
        <v>4</v>
      </c>
      <c r="H26" s="1">
        <v>2</v>
      </c>
      <c r="I26" s="1">
        <v>3</v>
      </c>
      <c r="J26" s="1">
        <v>1</v>
      </c>
      <c r="K26" s="1">
        <v>1</v>
      </c>
      <c r="L26" s="1">
        <v>1</v>
      </c>
      <c r="M26" s="1">
        <v>2</v>
      </c>
      <c r="N26" s="1">
        <v>1</v>
      </c>
      <c r="O26" s="1">
        <v>2</v>
      </c>
      <c r="P26" s="1">
        <v>5</v>
      </c>
    </row>
    <row r="27" spans="1:16" x14ac:dyDescent="0.3">
      <c r="A27" s="2" t="s">
        <v>7</v>
      </c>
      <c r="B27" s="1">
        <v>55000</v>
      </c>
      <c r="C27" s="1">
        <v>25000</v>
      </c>
      <c r="D27" s="1">
        <v>3000</v>
      </c>
      <c r="E27" s="1">
        <v>8000</v>
      </c>
      <c r="F27" s="1">
        <v>12000</v>
      </c>
      <c r="G27" s="1">
        <v>5000</v>
      </c>
      <c r="H27" s="1">
        <v>4000</v>
      </c>
      <c r="I27" s="1">
        <v>6000</v>
      </c>
      <c r="J27" s="1">
        <v>65000</v>
      </c>
      <c r="K27" s="1">
        <v>45000</v>
      </c>
      <c r="L27" s="1">
        <v>30000</v>
      </c>
      <c r="M27" s="1">
        <v>3500</v>
      </c>
      <c r="N27" s="1">
        <v>15000</v>
      </c>
      <c r="O27" s="1">
        <v>9000</v>
      </c>
      <c r="P27" s="1">
        <v>3000</v>
      </c>
    </row>
    <row r="28" spans="1:16" x14ac:dyDescent="0.3">
      <c r="A28" s="2" t="s">
        <v>8</v>
      </c>
      <c r="B28" s="1" t="s">
        <v>17</v>
      </c>
      <c r="C28" s="1" t="s">
        <v>23</v>
      </c>
      <c r="D28" s="1" t="s">
        <v>29</v>
      </c>
      <c r="E28" s="1" t="s">
        <v>17</v>
      </c>
      <c r="F28" s="1" t="s">
        <v>23</v>
      </c>
      <c r="G28" s="1" t="s">
        <v>29</v>
      </c>
      <c r="H28" s="1" t="s">
        <v>23</v>
      </c>
      <c r="I28" s="1" t="s">
        <v>17</v>
      </c>
      <c r="J28" s="1" t="s">
        <v>17</v>
      </c>
      <c r="K28" s="1" t="s">
        <v>23</v>
      </c>
      <c r="L28" s="1" t="s">
        <v>29</v>
      </c>
      <c r="M28" s="1" t="s">
        <v>23</v>
      </c>
      <c r="N28" s="1" t="s">
        <v>17</v>
      </c>
      <c r="O28" s="1" t="s">
        <v>29</v>
      </c>
      <c r="P28" s="1" t="s">
        <v>23</v>
      </c>
    </row>
    <row r="29" spans="1:16" x14ac:dyDescent="0.3">
      <c r="A29" s="2" t="s">
        <v>9</v>
      </c>
      <c r="B29" s="1" t="s">
        <v>18</v>
      </c>
      <c r="C29" s="1" t="s">
        <v>18</v>
      </c>
      <c r="D29" s="1" t="s">
        <v>30</v>
      </c>
      <c r="E29" s="1" t="s">
        <v>18</v>
      </c>
      <c r="F29" s="1" t="s">
        <v>30</v>
      </c>
      <c r="G29" s="1" t="s">
        <v>30</v>
      </c>
      <c r="H29" s="1" t="s">
        <v>18</v>
      </c>
      <c r="I29" s="1" t="s">
        <v>18</v>
      </c>
      <c r="J29" s="1" t="s">
        <v>18</v>
      </c>
      <c r="K29" s="1" t="s">
        <v>30</v>
      </c>
      <c r="L29" s="1" t="s">
        <v>18</v>
      </c>
      <c r="M29" s="1" t="s">
        <v>18</v>
      </c>
      <c r="N29" s="1" t="s">
        <v>30</v>
      </c>
      <c r="O29" s="1" t="s">
        <v>18</v>
      </c>
      <c r="P29" s="1" t="s">
        <v>18</v>
      </c>
    </row>
    <row r="30" spans="1:16" x14ac:dyDescent="0.3">
      <c r="A30" s="2" t="s">
        <v>10</v>
      </c>
      <c r="B30" s="1">
        <v>10</v>
      </c>
      <c r="C30" s="1">
        <v>5</v>
      </c>
      <c r="D30" s="1">
        <v>0</v>
      </c>
      <c r="E30" s="1">
        <v>15</v>
      </c>
      <c r="F30" s="1">
        <v>10</v>
      </c>
      <c r="G30" s="1">
        <v>5</v>
      </c>
      <c r="H30" s="1">
        <v>10</v>
      </c>
      <c r="I30" s="1">
        <v>20</v>
      </c>
      <c r="J30" s="1">
        <v>5</v>
      </c>
      <c r="K30" s="1">
        <v>10</v>
      </c>
      <c r="L30" s="1">
        <v>5</v>
      </c>
      <c r="M30" s="1">
        <v>0</v>
      </c>
      <c r="N30" s="1">
        <v>10</v>
      </c>
      <c r="O30" s="1">
        <v>15</v>
      </c>
      <c r="P30" s="1">
        <v>10</v>
      </c>
    </row>
    <row r="31" spans="1:16" x14ac:dyDescent="0.3">
      <c r="A31" s="2" t="s">
        <v>11</v>
      </c>
      <c r="B31" s="1">
        <v>49500</v>
      </c>
      <c r="C31" s="1">
        <v>47500</v>
      </c>
      <c r="D31" s="1">
        <v>9000</v>
      </c>
      <c r="E31" s="1">
        <v>6800</v>
      </c>
      <c r="F31" s="1">
        <v>21600</v>
      </c>
      <c r="G31" s="1">
        <v>19000</v>
      </c>
      <c r="H31" s="1">
        <v>7200</v>
      </c>
      <c r="I31" s="1">
        <v>14400</v>
      </c>
      <c r="J31" s="1">
        <v>61750</v>
      </c>
      <c r="K31" s="1">
        <v>40500</v>
      </c>
      <c r="L31" s="1">
        <v>28500</v>
      </c>
      <c r="M31" s="1">
        <v>7000</v>
      </c>
      <c r="N31" s="1">
        <v>13500</v>
      </c>
      <c r="O31" s="1">
        <v>15300</v>
      </c>
      <c r="P31" s="1">
        <v>13500</v>
      </c>
    </row>
  </sheetData>
  <conditionalFormatting sqref="A2:C16">
    <cfRule type="duplicateValues" dxfId="0" priority="2"/>
  </conditionalFormatting>
  <conditionalFormatting sqref="M2:M16">
    <cfRule type="colorScale" priority="1">
      <colorScale>
        <cfvo type="num" val="0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2" sqref="E2"/>
    </sheetView>
  </sheetViews>
  <sheetFormatPr defaultRowHeight="14.4" x14ac:dyDescent="0.3"/>
  <cols>
    <col min="1" max="2" width="15.44140625" bestFit="1" customWidth="1"/>
    <col min="3" max="3" width="11.88671875" bestFit="1" customWidth="1"/>
    <col min="4" max="4" width="14.109375" bestFit="1" customWidth="1"/>
    <col min="5" max="5" width="8.33203125" bestFit="1" customWidth="1"/>
    <col min="6" max="6" width="9.21875" bestFit="1" customWidth="1"/>
  </cols>
  <sheetData>
    <row r="1" spans="1:6" x14ac:dyDescent="0.3">
      <c r="A1" s="2" t="s">
        <v>12</v>
      </c>
      <c r="B1" s="2" t="s">
        <v>56</v>
      </c>
      <c r="C1" s="2" t="s">
        <v>3</v>
      </c>
      <c r="D1" s="2" t="s">
        <v>118</v>
      </c>
    </row>
    <row r="2" spans="1:6" x14ac:dyDescent="0.3">
      <c r="A2" s="1" t="s">
        <v>19</v>
      </c>
      <c r="B2" s="1" t="str">
        <f>VLOOKUP($A$2:$A$6,Shopping_Data!$A$2:$D$16,4,)</f>
        <v>Vikas Chopra</v>
      </c>
      <c r="C2" s="1" t="str">
        <f>VLOOKUP($A$2:$A$6,Shopping_Data!$A$2:$J$16,5,)</f>
        <v>Mumbai</v>
      </c>
      <c r="D2" s="1" t="str">
        <f>VLOOKUP($A$2:$A$6,Shopping_Data!$A$2:$J$16,10,)</f>
        <v>Card</v>
      </c>
    </row>
    <row r="3" spans="1:6" x14ac:dyDescent="0.3">
      <c r="A3" s="1" t="s">
        <v>24</v>
      </c>
      <c r="B3" s="1" t="str">
        <f>VLOOKUP($A$2:$A$6,Shopping_Data!$A$2:$D$16,4,)</f>
        <v>Neha Sharma</v>
      </c>
      <c r="C3" s="1" t="str">
        <f>VLOOKUP(A3:A7,Shopping_Data!A3:L17,5,)</f>
        <v>Mumbai</v>
      </c>
      <c r="D3" s="1" t="str">
        <f>VLOOKUP($A$2:$A$6,Shopping_Data!$A$2:$J$16,10,)</f>
        <v>UPI</v>
      </c>
    </row>
    <row r="4" spans="1:6" x14ac:dyDescent="0.3">
      <c r="A4" s="1" t="s">
        <v>31</v>
      </c>
      <c r="B4" s="1" t="str">
        <f>VLOOKUP($A$2:$A$6,Shopping_Data!$A$2:$D$16,4,)</f>
        <v>Simran Kaur</v>
      </c>
      <c r="C4" s="1" t="str">
        <f>VLOOKUP(A4:A8,Shopping_Data!A4:L18,5,)</f>
        <v>Mumbai</v>
      </c>
      <c r="D4" s="1" t="str">
        <f>VLOOKUP($A$2:$A$6,Shopping_Data!$A$2:$J$16,10,)</f>
        <v>Cash</v>
      </c>
    </row>
    <row r="5" spans="1:6" x14ac:dyDescent="0.3">
      <c r="A5" s="1" t="s">
        <v>38</v>
      </c>
      <c r="B5" s="1" t="str">
        <f>VLOOKUP($A$2:$A$6,Shopping_Data!$A$2:$D$16,4,)</f>
        <v>Anjali Thakur</v>
      </c>
      <c r="C5" s="1" t="str">
        <f>VLOOKUP(A5:A9,Shopping_Data!A5:L19,5,)</f>
        <v>Pune</v>
      </c>
      <c r="D5" s="1" t="str">
        <f>VLOOKUP($A$2:$A$6,Shopping_Data!$A$2:$J$16,10,)</f>
        <v>UPI</v>
      </c>
    </row>
    <row r="6" spans="1:6" x14ac:dyDescent="0.3">
      <c r="A6" s="1" t="s">
        <v>42</v>
      </c>
      <c r="B6" s="1" t="str">
        <f>VLOOKUP($A$2:$A$6,Shopping_Data!$A$2:$D$16,4,)</f>
        <v>Kiran Kaur</v>
      </c>
      <c r="C6" s="1" t="str">
        <f>VLOOKUP(A6:A10,Shopping_Data!A6:L20,5,)</f>
        <v>Noida</v>
      </c>
      <c r="D6" s="1" t="str">
        <f>VLOOKUP($A$2:$A$6,Shopping_Data!$A$2:$J$16,10,)</f>
        <v>Cash</v>
      </c>
    </row>
    <row r="9" spans="1:6" x14ac:dyDescent="0.3">
      <c r="A9" s="2" t="s">
        <v>12</v>
      </c>
      <c r="B9" s="1" t="s">
        <v>19</v>
      </c>
      <c r="C9" s="1" t="s">
        <v>24</v>
      </c>
      <c r="D9" s="1" t="s">
        <v>31</v>
      </c>
      <c r="E9" s="1" t="s">
        <v>38</v>
      </c>
      <c r="F9" s="1" t="s">
        <v>42</v>
      </c>
    </row>
    <row r="10" spans="1:6" x14ac:dyDescent="0.3">
      <c r="A10" s="2" t="s">
        <v>2</v>
      </c>
      <c r="B10" s="1" t="str">
        <f>HLOOKUP($B$9:$F$9,Shopping_Data!$A$19:$P$31,4,)</f>
        <v>Amit Gupta</v>
      </c>
      <c r="C10" s="1" t="str">
        <f>HLOOKUP($B$9:$F$9,Shopping_Data!$A$19:$P$31,4,)</f>
        <v>Neha Sharma</v>
      </c>
      <c r="D10" s="1" t="str">
        <f>HLOOKUP($B$9:$F$9,Shopping_Data!$A$19:$P$31,4,)</f>
        <v>Raj Arora</v>
      </c>
      <c r="E10" s="1" t="str">
        <f>HLOOKUP($B$9:$F$9,Shopping_Data!$A$19:$P$31,4,)</f>
        <v>Arun Jain</v>
      </c>
      <c r="F10" s="1" t="str">
        <f>HLOOKUP($B$9:$F$9,Shopping_Data!$A$19:$P$31,4,)</f>
        <v>Kiran Kaur</v>
      </c>
    </row>
    <row r="11" spans="1:6" x14ac:dyDescent="0.3">
      <c r="A11" s="2" t="s">
        <v>3</v>
      </c>
      <c r="B11" s="1" t="str">
        <f>HLOOKUP($B$9:$F$9,Shopping_Data!$A$19:$P$31,5,)</f>
        <v>Delhi</v>
      </c>
      <c r="C11" s="1" t="str">
        <f>HLOOKUP($B$9:$F$9,Shopping_Data!$A$19:$P$31,5,)</f>
        <v>Mumbai</v>
      </c>
      <c r="D11" s="1" t="str">
        <f>HLOOKUP($B$9:$F$9,Shopping_Data!$A$19:$P$31,5,)</f>
        <v>Pune</v>
      </c>
      <c r="E11" s="1" t="str">
        <f>HLOOKUP($B$9:$F$9,Shopping_Data!$A$19:$P$31,5,)</f>
        <v>Chennai</v>
      </c>
      <c r="F11" s="1" t="str">
        <f>HLOOKUP($B$9:$F$9,Shopping_Data!$A$19:$P$31,5,)</f>
        <v>Noida</v>
      </c>
    </row>
    <row r="12" spans="1:6" x14ac:dyDescent="0.3">
      <c r="A12" s="2" t="s">
        <v>118</v>
      </c>
      <c r="B12" s="1" t="str">
        <f>HLOOKUP($B$9:$F$9,Shopping_Data!$A$19:$P$31,10,)</f>
        <v>Card</v>
      </c>
      <c r="C12" s="1" t="str">
        <f>HLOOKUP($B$9:$F$9,Shopping_Data!$A$19:$P$31,10,)</f>
        <v>UPI</v>
      </c>
      <c r="D12" s="1" t="str">
        <f>HLOOKUP($B$9:$F$9,Shopping_Data!$A$19:$P$31,10,)</f>
        <v>Cash</v>
      </c>
      <c r="E12" s="1" t="str">
        <f>HLOOKUP($B$9:$F$9,Shopping_Data!$A$19:$P$31,10,)</f>
        <v>UPI</v>
      </c>
      <c r="F12" s="1" t="str">
        <f>HLOOKUP($B$9:$F$9,Shopping_Data!$A$19:$P$31,10,)</f>
        <v>Cash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/>
  </sheetViews>
  <sheetFormatPr defaultRowHeight="14.4" x14ac:dyDescent="0.3"/>
  <cols>
    <col min="1" max="1" width="59.5546875" customWidth="1"/>
    <col min="2" max="2" width="22.109375" style="4" bestFit="1" customWidth="1"/>
    <col min="3" max="3" width="13.5546875" customWidth="1"/>
  </cols>
  <sheetData>
    <row r="1" spans="1:3" x14ac:dyDescent="0.3">
      <c r="A1" s="3" t="s">
        <v>57</v>
      </c>
      <c r="B1" s="3" t="s">
        <v>134</v>
      </c>
      <c r="C1" s="3" t="s">
        <v>135</v>
      </c>
    </row>
    <row r="2" spans="1:3" x14ac:dyDescent="0.3">
      <c r="A2" t="s">
        <v>58</v>
      </c>
      <c r="B2" s="4" t="str">
        <f>LEFT(Shopping_Data!D2,FIND(" ",Shopping_Data!D2))</f>
        <v xml:space="preserve">Vikas </v>
      </c>
    </row>
    <row r="3" spans="1:3" x14ac:dyDescent="0.3">
      <c r="A3" t="s">
        <v>59</v>
      </c>
      <c r="B3" s="4" t="str">
        <f>RIGHT(Shopping_Data!C2,3)</f>
        <v>109</v>
      </c>
    </row>
    <row r="4" spans="1:3" x14ac:dyDescent="0.3">
      <c r="A4" t="s">
        <v>60</v>
      </c>
      <c r="B4" s="4">
        <f>LEN(Shopping_Data!D14)</f>
        <v>8</v>
      </c>
    </row>
    <row r="5" spans="1:3" x14ac:dyDescent="0.3">
      <c r="A5" t="s">
        <v>61</v>
      </c>
      <c r="B5" s="4" t="str">
        <f>UPPER(Shopping_Data!D10)</f>
        <v>SNEHA GUPTA</v>
      </c>
    </row>
    <row r="6" spans="1:3" x14ac:dyDescent="0.3">
      <c r="A6" t="s">
        <v>62</v>
      </c>
      <c r="B6" s="4" t="str">
        <f>LOWER(Shopping_Data!D13)</f>
        <v>raj arora</v>
      </c>
    </row>
    <row r="7" spans="1:3" x14ac:dyDescent="0.3">
      <c r="A7" t="s">
        <v>63</v>
      </c>
      <c r="B7" s="4" t="str">
        <f>CONCATENATE(Shopping_Data!D4," ",Shopping_Data!E4)</f>
        <v>Neha Sharma Mumbai</v>
      </c>
    </row>
    <row r="8" spans="1:3" x14ac:dyDescent="0.3">
      <c r="A8" t="s">
        <v>64</v>
      </c>
      <c r="B8" s="4" t="s">
        <v>136</v>
      </c>
      <c r="C8" t="e">
        <v>#N/A</v>
      </c>
    </row>
    <row r="9" spans="1:3" x14ac:dyDescent="0.3">
      <c r="A9" t="s">
        <v>65</v>
      </c>
      <c r="B9" s="4" t="e">
        <f>FIND("K",Shopping_Data!D5)</f>
        <v>#VALUE!</v>
      </c>
    </row>
    <row r="10" spans="1:3" x14ac:dyDescent="0.3">
      <c r="A10" t="s">
        <v>66</v>
      </c>
      <c r="B10" s="4" t="str">
        <f>MID(Shopping_Data!D6,LEN(Shopping_Data!D6),3)</f>
        <v>n</v>
      </c>
    </row>
    <row r="11" spans="1:3" x14ac:dyDescent="0.3">
      <c r="A11" t="s">
        <v>67</v>
      </c>
      <c r="B11" s="4" t="str">
        <f>TRIM(Shopping_Data!D11)</f>
        <v>Manish Kumar</v>
      </c>
    </row>
    <row r="12" spans="1:3" x14ac:dyDescent="0.3">
      <c r="A12" t="s">
        <v>68</v>
      </c>
      <c r="B12" s="4" t="str">
        <f>SUBSTITUTE(Shopping_Data!J4,Shopping_Data!J4,Shopping_Data!J3)</f>
        <v>Card</v>
      </c>
    </row>
    <row r="13" spans="1:3" x14ac:dyDescent="0.3">
      <c r="A13" t="s">
        <v>69</v>
      </c>
      <c r="B13" s="4" t="s">
        <v>136</v>
      </c>
      <c r="C13" t="e">
        <v>#N/A</v>
      </c>
    </row>
    <row r="14" spans="1:3" x14ac:dyDescent="0.3">
      <c r="A14" t="s">
        <v>70</v>
      </c>
      <c r="B14" s="4" t="str">
        <f>CONCATENATE(LEFT(Shopping_Data!D11, FIND(" ",Shopping_Data!D11)-1),".", RIGHT(Shopping_Data!D11, FIND(" ",Shopping_Data!D11)-1), "@","gmail.com")</f>
        <v>Manish. Kumar@gmail.com</v>
      </c>
    </row>
    <row r="15" spans="1:3" x14ac:dyDescent="0.3">
      <c r="A15" t="s">
        <v>71</v>
      </c>
      <c r="B15" s="4" t="str">
        <f>LEFT(Shopping_Data!F5,1)</f>
        <v>S</v>
      </c>
    </row>
    <row r="16" spans="1:3" x14ac:dyDescent="0.3">
      <c r="A16" t="s">
        <v>72</v>
      </c>
      <c r="B16" s="4" t="str">
        <f>RIGHT(Shopping_Data!E6,LEN(Shopping_Data!E6)-LEN(Shopping_Data!E6)+1)</f>
        <v>i</v>
      </c>
    </row>
    <row r="17" spans="1:4" x14ac:dyDescent="0.3">
      <c r="A17" t="s">
        <v>73</v>
      </c>
      <c r="B17" s="4">
        <f>LEN(Shopping_Data!F2)</f>
        <v>6</v>
      </c>
    </row>
    <row r="18" spans="1:4" x14ac:dyDescent="0.3">
      <c r="A18" t="s">
        <v>74</v>
      </c>
      <c r="B18" s="4" t="str">
        <f>PROPER("BhaVIk")</f>
        <v>Bhavik</v>
      </c>
    </row>
    <row r="19" spans="1:4" x14ac:dyDescent="0.3">
      <c r="A19" t="s">
        <v>75</v>
      </c>
      <c r="B19" s="4" t="str">
        <f>CONCATENATE(Shopping_Data!D2," ",Shopping_Data!F2," ",Shopping_Data!E2)</f>
        <v>Vikas Chopra Laptop Mumbai</v>
      </c>
    </row>
    <row r="20" spans="1:4" x14ac:dyDescent="0.3">
      <c r="A20" t="s">
        <v>76</v>
      </c>
      <c r="B20" s="4" t="s">
        <v>136</v>
      </c>
      <c r="C20" t="e">
        <v>#N/A</v>
      </c>
    </row>
    <row r="21" spans="1:4" x14ac:dyDescent="0.3">
      <c r="A21" t="s">
        <v>77</v>
      </c>
      <c r="B21" s="4" t="str">
        <f>CONCATENATE(UPPER(LEFT(Shopping_Data!D2,FIND(" ",Shopping_Data!D2,1)-1)),RIGHT(Shopping_Data!C2,3),LEFT(Shopping_Data!E2,3))</f>
        <v>VIKAS109Mum</v>
      </c>
    </row>
    <row r="22" spans="1:4" x14ac:dyDescent="0.3">
      <c r="A22" t="s">
        <v>78</v>
      </c>
      <c r="B22" s="4">
        <f>SUM(Shopping_Data!M2:M16)</f>
        <v>355050</v>
      </c>
    </row>
    <row r="23" spans="1:4" x14ac:dyDescent="0.3">
      <c r="A23" t="s">
        <v>79</v>
      </c>
      <c r="B23" s="4">
        <f>AVERAGE(Shopping_Data!M2:M16)</f>
        <v>23670</v>
      </c>
    </row>
    <row r="24" spans="1:4" x14ac:dyDescent="0.3">
      <c r="A24" t="s">
        <v>80</v>
      </c>
      <c r="B24" s="4">
        <f>MAX(Shopping_Data!M2:M16)</f>
        <v>61750</v>
      </c>
    </row>
    <row r="25" spans="1:4" x14ac:dyDescent="0.3">
      <c r="A25" t="s">
        <v>81</v>
      </c>
      <c r="B25" s="4">
        <f>COUNT(Shopping_Data!M2:M16)</f>
        <v>15</v>
      </c>
    </row>
    <row r="26" spans="1:4" x14ac:dyDescent="0.3">
      <c r="A26" t="s">
        <v>82</v>
      </c>
      <c r="B26" s="4">
        <f>COUNTIF(Shopping_Data!K2:K16,Shopping_Data!$K$2)</f>
        <v>10</v>
      </c>
    </row>
    <row r="27" spans="1:4" x14ac:dyDescent="0.3">
      <c r="A27" t="s">
        <v>83</v>
      </c>
      <c r="B27" s="4">
        <f ca="1">SUMIF(Shopping_Data!G2:M16,Shopping_Data!$G$2,Shopping_Data!M2:M16)</f>
        <v>207950</v>
      </c>
    </row>
    <row r="28" spans="1:4" x14ac:dyDescent="0.3">
      <c r="A28" t="s">
        <v>84</v>
      </c>
      <c r="B28" s="4">
        <f>SUMIFS(Shopping_Data!M2:M16,Shopping_Data!G2:G16,Shopping_Data!$G$4,Shopping_Data!J2:J16,Shopping_Data!$J$3)</f>
        <v>111250</v>
      </c>
    </row>
    <row r="29" spans="1:4" x14ac:dyDescent="0.3">
      <c r="A29" t="s">
        <v>85</v>
      </c>
      <c r="B29" s="4" t="s">
        <v>136</v>
      </c>
      <c r="C29" t="e">
        <v>#N/A</v>
      </c>
      <c r="D29" s="4" t="s">
        <v>137</v>
      </c>
    </row>
    <row r="30" spans="1:4" x14ac:dyDescent="0.3">
      <c r="A30" t="s">
        <v>86</v>
      </c>
      <c r="B30" s="4" t="str">
        <f>IF(Shopping_Data!M3&gt;50000,"High", "Low")</f>
        <v>Low</v>
      </c>
    </row>
    <row r="31" spans="1:4" x14ac:dyDescent="0.3">
      <c r="A31" t="s">
        <v>87</v>
      </c>
      <c r="B31" s="4" t="s">
        <v>136</v>
      </c>
      <c r="C31" t="e">
        <v>#N/A</v>
      </c>
    </row>
    <row r="32" spans="1:4" x14ac:dyDescent="0.3">
      <c r="A32" t="s">
        <v>88</v>
      </c>
      <c r="B32" s="4" t="s">
        <v>138</v>
      </c>
    </row>
    <row r="33" spans="1:2" x14ac:dyDescent="0.3">
      <c r="A33" t="s">
        <v>89</v>
      </c>
      <c r="B33" s="4" t="s">
        <v>138</v>
      </c>
    </row>
    <row r="34" spans="1:2" x14ac:dyDescent="0.3">
      <c r="A34" t="s">
        <v>90</v>
      </c>
      <c r="B34" s="4" t="s">
        <v>136</v>
      </c>
    </row>
    <row r="35" spans="1:2" x14ac:dyDescent="0.3">
      <c r="A35" t="s">
        <v>91</v>
      </c>
      <c r="B35" s="4" t="s">
        <v>138</v>
      </c>
    </row>
    <row r="36" spans="1:2" x14ac:dyDescent="0.3">
      <c r="A36" t="s">
        <v>92</v>
      </c>
      <c r="B36" s="4" t="s">
        <v>138</v>
      </c>
    </row>
    <row r="37" spans="1:2" x14ac:dyDescent="0.3">
      <c r="A37" t="s">
        <v>93</v>
      </c>
      <c r="B37" s="4" t="s">
        <v>138</v>
      </c>
    </row>
    <row r="38" spans="1:2" x14ac:dyDescent="0.3">
      <c r="A38" t="s">
        <v>94</v>
      </c>
      <c r="B38" s="4" t="s">
        <v>138</v>
      </c>
    </row>
    <row r="39" spans="1:2" x14ac:dyDescent="0.3">
      <c r="A39" t="s">
        <v>95</v>
      </c>
      <c r="B39" s="4" t="s">
        <v>138</v>
      </c>
    </row>
    <row r="40" spans="1:2" x14ac:dyDescent="0.3">
      <c r="A40" t="s">
        <v>96</v>
      </c>
      <c r="B40" s="4" t="s">
        <v>138</v>
      </c>
    </row>
    <row r="41" spans="1:2" x14ac:dyDescent="0.3">
      <c r="A41" t="s">
        <v>97</v>
      </c>
    </row>
    <row r="42" spans="1:2" x14ac:dyDescent="0.3">
      <c r="A42" t="s">
        <v>98</v>
      </c>
      <c r="B42" s="4" t="s">
        <v>138</v>
      </c>
    </row>
    <row r="43" spans="1:2" x14ac:dyDescent="0.3">
      <c r="A43" t="s">
        <v>99</v>
      </c>
      <c r="B43" s="4" t="s">
        <v>138</v>
      </c>
    </row>
    <row r="44" spans="1:2" x14ac:dyDescent="0.3">
      <c r="A44" t="s">
        <v>100</v>
      </c>
      <c r="B44" s="4" t="s">
        <v>138</v>
      </c>
    </row>
    <row r="45" spans="1:2" x14ac:dyDescent="0.3">
      <c r="A45" t="s">
        <v>101</v>
      </c>
      <c r="B45" s="4" t="s">
        <v>138</v>
      </c>
    </row>
    <row r="46" spans="1:2" x14ac:dyDescent="0.3">
      <c r="A46" t="s">
        <v>102</v>
      </c>
      <c r="B46" s="4" t="s">
        <v>138</v>
      </c>
    </row>
    <row r="47" spans="1:2" x14ac:dyDescent="0.3">
      <c r="A47" t="s">
        <v>103</v>
      </c>
      <c r="B47" s="4" t="s">
        <v>138</v>
      </c>
    </row>
    <row r="48" spans="1:2" x14ac:dyDescent="0.3">
      <c r="A48" t="s">
        <v>104</v>
      </c>
      <c r="B48" s="4" t="s">
        <v>138</v>
      </c>
    </row>
    <row r="49" spans="1:2" x14ac:dyDescent="0.3">
      <c r="A49" t="s">
        <v>105</v>
      </c>
      <c r="B49" s="4" t="s">
        <v>138</v>
      </c>
    </row>
    <row r="50" spans="1:2" x14ac:dyDescent="0.3">
      <c r="A50" t="s">
        <v>106</v>
      </c>
      <c r="B50" s="4" t="s">
        <v>138</v>
      </c>
    </row>
    <row r="51" spans="1:2" x14ac:dyDescent="0.3">
      <c r="A51" t="s">
        <v>107</v>
      </c>
      <c r="B51" s="4" t="s">
        <v>136</v>
      </c>
    </row>
    <row r="52" spans="1:2" x14ac:dyDescent="0.3">
      <c r="A52" t="s">
        <v>108</v>
      </c>
      <c r="B52" s="4" t="s">
        <v>136</v>
      </c>
    </row>
    <row r="53" spans="1:2" x14ac:dyDescent="0.3">
      <c r="A53" t="s">
        <v>109</v>
      </c>
      <c r="B53" s="4" t="s">
        <v>136</v>
      </c>
    </row>
    <row r="54" spans="1:2" x14ac:dyDescent="0.3">
      <c r="A54" t="s">
        <v>110</v>
      </c>
      <c r="B54" s="4" t="s">
        <v>136</v>
      </c>
    </row>
    <row r="55" spans="1:2" x14ac:dyDescent="0.3">
      <c r="A55" t="s">
        <v>111</v>
      </c>
      <c r="B55" s="4" t="s">
        <v>136</v>
      </c>
    </row>
    <row r="56" spans="1:2" x14ac:dyDescent="0.3">
      <c r="A56" t="s">
        <v>112</v>
      </c>
      <c r="B56" s="4" t="s">
        <v>136</v>
      </c>
    </row>
    <row r="57" spans="1:2" x14ac:dyDescent="0.3">
      <c r="A57" t="s">
        <v>113</v>
      </c>
      <c r="B57" s="4" t="s">
        <v>138</v>
      </c>
    </row>
    <row r="58" spans="1:2" x14ac:dyDescent="0.3">
      <c r="A58" t="s">
        <v>114</v>
      </c>
      <c r="B58" s="4" t="s">
        <v>138</v>
      </c>
    </row>
    <row r="59" spans="1:2" x14ac:dyDescent="0.3">
      <c r="A59" t="s">
        <v>115</v>
      </c>
      <c r="B59" s="4" t="s">
        <v>138</v>
      </c>
    </row>
    <row r="60" spans="1:2" x14ac:dyDescent="0.3">
      <c r="A60" t="s">
        <v>116</v>
      </c>
      <c r="B60" s="4" t="s">
        <v>138</v>
      </c>
    </row>
    <row r="61" spans="1:2" x14ac:dyDescent="0.3">
      <c r="A61" t="s">
        <v>117</v>
      </c>
      <c r="B61" s="4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Shopping_Data</vt:lpstr>
      <vt:lpstr>Lookup_Data</vt:lpstr>
      <vt:lpstr>Practice_Questions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2026-06-29T16:14:29Z</dcterms:created>
  <dcterms:modified xsi:type="dcterms:W3CDTF">2026-07-01T16:52:14Z</dcterms:modified>
</cp:coreProperties>
</file>